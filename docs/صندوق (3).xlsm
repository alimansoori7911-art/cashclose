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rahavi\حسابداری\صندوق\"/>
    </mc:Choice>
  </mc:AlternateContent>
  <xr:revisionPtr revIDLastSave="0" documentId="13_ncr:1_{07E6FC4A-B60F-411E-B522-63B39233C10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17" i="1" s="1"/>
  <c r="B18" i="1"/>
  <c r="A19" i="1"/>
  <c r="V1" i="1"/>
  <c r="B16" i="1" l="1"/>
</calcChain>
</file>

<file path=xl/sharedStrings.xml><?xml version="1.0" encoding="utf-8"?>
<sst xmlns="http://schemas.openxmlformats.org/spreadsheetml/2006/main" count="55" uniqueCount="50">
  <si>
    <t>فروش کل</t>
  </si>
  <si>
    <t>صدور هدیه چک</t>
  </si>
  <si>
    <t>صدور سند بستانکاری</t>
  </si>
  <si>
    <t>دریافت سند بستانکاری</t>
  </si>
  <si>
    <t>دریافت بیعانه</t>
  </si>
  <si>
    <t>بیعانه از قبل</t>
  </si>
  <si>
    <t>دریافت هزینه</t>
  </si>
  <si>
    <t>پرداخت هزینه</t>
  </si>
  <si>
    <t>برگشت کالا</t>
  </si>
  <si>
    <t>مبلغ</t>
  </si>
  <si>
    <t>توضیح</t>
  </si>
  <si>
    <t>واریز به مشتری</t>
  </si>
  <si>
    <t>خرید بدون تسویه</t>
  </si>
  <si>
    <t>کسری صندوق</t>
  </si>
  <si>
    <t>مازاد صندوق</t>
  </si>
  <si>
    <t>تخفیف ViP</t>
  </si>
  <si>
    <t>نقدی</t>
  </si>
  <si>
    <t xml:space="preserve">ارز </t>
  </si>
  <si>
    <t>چک</t>
  </si>
  <si>
    <t>کارتخوان 1</t>
  </si>
  <si>
    <t>کارتخوان 2</t>
  </si>
  <si>
    <t xml:space="preserve">فروش اینترنتی </t>
  </si>
  <si>
    <t>مانده صندوق</t>
  </si>
  <si>
    <t>نام شعبه</t>
  </si>
  <si>
    <t>نام مسئول شیفت صبح</t>
  </si>
  <si>
    <t>نام مسئول شیفت عصر</t>
  </si>
  <si>
    <t>تاریخ</t>
  </si>
  <si>
    <t>واریز به کارت</t>
  </si>
  <si>
    <t>وضعیت</t>
  </si>
  <si>
    <t>دیافت بدهی</t>
  </si>
  <si>
    <t>مازاد / کسری صندوق</t>
  </si>
  <si>
    <t>جمع اسناد</t>
  </si>
  <si>
    <t xml:space="preserve">توضيحات اضافي: </t>
  </si>
  <si>
    <t>عملکرد</t>
  </si>
  <si>
    <r>
      <t xml:space="preserve">تاریخ بر اساس فرمت 14000101 نوشته شود- در قسمت مانده صندوق وضعیت - مازاد و مسری صندوق که با رنگ </t>
    </r>
    <r>
      <rPr>
        <sz val="11"/>
        <rFont val="Calibri"/>
        <family val="2"/>
        <scheme val="minor"/>
      </rPr>
      <t>زرد</t>
    </r>
    <r>
      <rPr>
        <sz val="11"/>
        <color theme="1"/>
        <rFont val="Calibri"/>
        <family val="2"/>
        <scheme val="minor"/>
      </rPr>
      <t xml:space="preserve"> نشان داده شده چیزی نوشته نشود</t>
    </r>
  </si>
  <si>
    <t>کارتخوان 3</t>
  </si>
  <si>
    <t>کارتخوان 4</t>
  </si>
  <si>
    <t>کارتخوان 5</t>
  </si>
  <si>
    <t>رهاوی</t>
  </si>
  <si>
    <t>خانم رضایی</t>
  </si>
  <si>
    <t>اقتصاد</t>
  </si>
  <si>
    <t>صادرات</t>
  </si>
  <si>
    <t>سامان</t>
  </si>
  <si>
    <t>ملت</t>
  </si>
  <si>
    <t>آینده</t>
  </si>
  <si>
    <t>ملی آقا سعید</t>
  </si>
  <si>
    <t>3000000</t>
  </si>
  <si>
    <t>برگشتی</t>
  </si>
  <si>
    <t>14050116</t>
  </si>
  <si>
    <t>تهاتر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</si>
</sst>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3" fontId="1" fillId="2" borderId="1" xfId="0" applyNumberFormat="1" applyFont="1" applyFill="1" applyBorder="1"/>
    <xf numFmtId="3" fontId="1" fillId="2" borderId="1" xfId="0" applyNumberFormat="1" applyFont="1" applyFill="1" applyBorder="1" applyProtection="1"/>
    <xf numFmtId="0" fontId="1" fillId="5" borderId="1" xfId="0" applyFont="1" applyFill="1" applyBorder="1" applyProtection="1"/>
    <xf numFmtId="3" fontId="0" fillId="3" borderId="0" xfId="0" applyNumberFormat="1" applyFill="1" applyBorder="1"/>
    <xf numFmtId="49" fontId="0" fillId="3" borderId="0" xfId="0" applyNumberFormat="1" applyFill="1" applyBorder="1"/>
    <xf numFmtId="3" fontId="0" fillId="5" borderId="1" xfId="0" applyNumberFormat="1" applyFill="1" applyBorder="1"/>
    <xf numFmtId="49" fontId="0" fillId="5" borderId="1" xfId="0" applyNumberFormat="1" applyFill="1" applyBorder="1"/>
    <xf numFmtId="3" fontId="0" fillId="5" borderId="3" xfId="0" applyNumberFormat="1" applyFill="1" applyBorder="1"/>
    <xf numFmtId="49" fontId="0" fillId="5" borderId="3" xfId="0" applyNumberFormat="1" applyFill="1" applyBorder="1"/>
    <xf numFmtId="0" fontId="1" fillId="5" borderId="7" xfId="0" applyFont="1" applyFill="1" applyBorder="1" applyProtection="1"/>
    <xf numFmtId="3" fontId="0" fillId="5" borderId="4" xfId="0" applyNumberFormat="1" applyFill="1" applyBorder="1"/>
    <xf numFmtId="49" fontId="0" fillId="5" borderId="8" xfId="0" applyNumberFormat="1" applyFill="1" applyBorder="1"/>
    <xf numFmtId="49" fontId="1" fillId="5" borderId="0" xfId="0" applyNumberFormat="1" applyFont="1" applyFill="1" applyBorder="1"/>
    <xf numFmtId="0" fontId="0" fillId="5" borderId="2" xfId="0" applyFill="1" applyBorder="1" applyAlignment="1">
      <alignment vertical="top"/>
    </xf>
    <xf numFmtId="0" fontId="0" fillId="5" borderId="0" xfId="0" applyFill="1"/>
    <xf numFmtId="49" fontId="0" fillId="5" borderId="0" xfId="0" applyNumberFormat="1" applyFill="1"/>
    <xf numFmtId="0" fontId="3" fillId="5" borderId="0" xfId="0" applyFont="1" applyFill="1"/>
    <xf numFmtId="0" fontId="5" fillId="4" borderId="11" xfId="0" applyFont="1" applyFill="1" applyBorder="1" applyAlignment="1" applyProtection="1">
      <alignment horizontal="center" vertical="center"/>
    </xf>
    <xf numFmtId="3" fontId="5" fillId="4" borderId="12" xfId="0" applyNumberFormat="1" applyFont="1" applyFill="1" applyBorder="1" applyAlignment="1" applyProtection="1">
      <alignment horizontal="center" vertical="center"/>
    </xf>
    <xf numFmtId="0" fontId="5" fillId="4" borderId="12" xfId="0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</xf>
    <xf numFmtId="0" fontId="1" fillId="5" borderId="14" xfId="0" applyFont="1" applyFill="1" applyBorder="1" applyProtection="1"/>
    <xf numFmtId="49" fontId="1" fillId="5" borderId="15" xfId="0" applyNumberFormat="1" applyFont="1" applyFill="1" applyBorder="1" applyAlignment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49" fontId="6" fillId="3" borderId="15" xfId="0" applyNumberFormat="1" applyFont="1" applyFill="1" applyBorder="1" applyAlignment="1">
      <alignment horizontal="center" vertical="center"/>
    </xf>
    <xf numFmtId="0" fontId="1" fillId="5" borderId="15" xfId="0" applyFont="1" applyFill="1" applyBorder="1" applyAlignment="1" applyProtection="1">
      <alignment horizontal="center" vertical="center"/>
    </xf>
    <xf numFmtId="0" fontId="1" fillId="3" borderId="15" xfId="0" applyFont="1" applyFill="1" applyBorder="1" applyAlignment="1" applyProtection="1">
      <alignment horizontal="center" vertical="center"/>
    </xf>
    <xf numFmtId="49" fontId="0" fillId="3" borderId="16" xfId="0" applyNumberFormat="1" applyFill="1" applyBorder="1" applyAlignment="1">
      <alignment horizontal="center" vertical="center"/>
    </xf>
    <xf numFmtId="0" fontId="1" fillId="5" borderId="17" xfId="0" applyFont="1" applyFill="1" applyBorder="1" applyProtection="1"/>
    <xf numFmtId="0" fontId="1" fillId="3" borderId="18" xfId="0" applyFont="1" applyFill="1" applyBorder="1" applyProtection="1"/>
    <xf numFmtId="0" fontId="1" fillId="5" borderId="19" xfId="0" applyFont="1" applyFill="1" applyBorder="1" applyProtection="1"/>
    <xf numFmtId="0" fontId="1" fillId="2" borderId="14" xfId="0" applyFont="1" applyFill="1" applyBorder="1" applyProtection="1"/>
    <xf numFmtId="49" fontId="0" fillId="5" borderId="1" xfId="0" applyNumberFormat="1" applyFill="1" applyBorder="1" applyAlignment="1"/>
    <xf numFmtId="49" fontId="0" fillId="5" borderId="15" xfId="0" applyNumberFormat="1" applyFill="1" applyBorder="1" applyAlignment="1"/>
    <xf numFmtId="49" fontId="8" fillId="5" borderId="2" xfId="0" applyNumberFormat="1" applyFont="1" applyFill="1" applyBorder="1" applyAlignment="1">
      <alignment horizontal="center" vertical="center"/>
    </xf>
    <xf numFmtId="49" fontId="0" fillId="5" borderId="9" xfId="0" applyNumberFormat="1" applyFill="1" applyBorder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4" fillId="2" borderId="18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</xf>
    <xf numFmtId="0" fontId="4" fillId="2" borderId="22" xfId="0" applyFont="1" applyFill="1" applyBorder="1" applyAlignment="1" applyProtection="1">
      <alignment horizontal="center" vertical="center"/>
    </xf>
    <xf numFmtId="0" fontId="0" fillId="3" borderId="5" xfId="0" applyFill="1" applyBorder="1" applyAlignment="1">
      <alignment horizontal="center" vertical="top" wrapText="1"/>
    </xf>
    <xf numFmtId="0" fontId="0" fillId="3" borderId="6" xfId="0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top" wrapText="1"/>
    </xf>
    <xf numFmtId="0" fontId="0" fillId="5" borderId="20" xfId="0" applyFill="1" applyBorder="1" applyAlignment="1">
      <alignment horizontal="center" vertical="top"/>
    </xf>
    <xf numFmtId="0" fontId="0" fillId="5" borderId="21" xfId="0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22" xfId="0" applyFill="1" applyBorder="1" applyAlignment="1">
      <alignment horizontal="center" vertical="top"/>
    </xf>
    <xf numFmtId="49" fontId="0" fillId="5" borderId="2" xfId="0" applyNumberFormat="1" applyFill="1" applyBorder="1" applyAlignment="1">
      <alignment horizontal="center"/>
    </xf>
    <xf numFmtId="49" fontId="0" fillId="5" borderId="23" xfId="0" applyNumberFormat="1" applyFill="1" applyBorder="1" applyAlignment="1">
      <alignment horizontal="center"/>
    </xf>
    <xf numFmtId="49" fontId="0" fillId="5" borderId="24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66676</xdr:colOff>
      <xdr:row>13</xdr:row>
      <xdr:rowOff>123825</xdr:rowOff>
    </xdr:from>
    <xdr:to>
      <xdr:col>2</xdr:col>
      <xdr:colOff>1323975</xdr:colOff>
      <xdr:row>17</xdr:row>
      <xdr:rowOff>228599</xdr:rowOff>
    </xdr:to>
    <xdr:sp macro="[0]!Sheet1.CloseCashier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89238975" y="3343275"/>
          <a:ext cx="1257299" cy="10953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20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بستن صندوق </a:t>
          </a:r>
          <a:endParaRPr lang="en-US" sz="20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rightToLeft="1" tabSelected="1" zoomScaleNormal="100" workbookViewId="0">
      <selection activeCell="E15" sqref="E15"/>
    </sheetView>
  </sheetViews>
  <sheetFormatPr defaultColWidth="9.140625" defaultRowHeight="15" x14ac:dyDescent="0.25"/>
  <cols>
    <col min="1" max="7" width="20.7109375" style="15" customWidth="1"/>
    <col min="8" max="16384" width="9.140625" style="15"/>
  </cols>
  <sheetData>
    <row r="1" spans="1:22" ht="20.100000000000001" customHeight="1" x14ac:dyDescent="0.25">
      <c r="A1" s="18" t="s">
        <v>33</v>
      </c>
      <c r="B1" s="19" t="s">
        <v>9</v>
      </c>
      <c r="C1" s="20" t="s">
        <v>10</v>
      </c>
      <c r="D1" s="20" t="s">
        <v>33</v>
      </c>
      <c r="E1" s="20" t="s">
        <v>9</v>
      </c>
      <c r="F1" s="20" t="s">
        <v>10</v>
      </c>
      <c r="G1" s="21" t="s">
        <v>23</v>
      </c>
      <c r="U1" s="16"/>
      <c r="V1" s="17" t="str">
        <f>G2 &amp;"_"&amp; G8</f>
        <v>رهاوی_14050116</v>
      </c>
    </row>
    <row r="2" spans="1:22" ht="20.100000000000001" customHeight="1" x14ac:dyDescent="0.25">
      <c r="A2" s="22" t="s">
        <v>49</v>
      </c>
      <c r="B2" s="6">
        <v>1000000</v>
      </c>
      <c r="C2" s="7"/>
      <c r="D2" s="3" t="s">
        <v>1</v>
      </c>
      <c r="E2" s="6"/>
      <c r="F2" s="7"/>
      <c r="G2" s="23" t="s">
        <v>38</v>
      </c>
    </row>
    <row r="3" spans="1:22" ht="20.100000000000001" customHeight="1" x14ac:dyDescent="0.25">
      <c r="A3" s="22" t="s">
        <v>3</v>
      </c>
      <c r="B3" s="6"/>
      <c r="C3" s="7"/>
      <c r="D3" s="3" t="s">
        <v>2</v>
      </c>
      <c r="E3" s="6"/>
      <c r="F3" s="7"/>
      <c r="G3" s="24" t="s">
        <v>24</v>
      </c>
    </row>
    <row r="4" spans="1:22" ht="20.100000000000001" customHeight="1" x14ac:dyDescent="0.25">
      <c r="A4" s="22" t="s">
        <v>6</v>
      </c>
      <c r="B4" s="6"/>
      <c r="C4" s="7"/>
      <c r="D4" s="3" t="s">
        <v>7</v>
      </c>
      <c r="E4" s="6">
        <v>2000000</v>
      </c>
      <c r="F4" s="7"/>
      <c r="G4" s="25" t="s">
        <v>39</v>
      </c>
    </row>
    <row r="5" spans="1:22" ht="20.100000000000001" customHeight="1" x14ac:dyDescent="0.25">
      <c r="A5" s="22" t="s">
        <v>4</v>
      </c>
      <c r="B5" s="6"/>
      <c r="C5" s="7"/>
      <c r="D5" s="3" t="s">
        <v>11</v>
      </c>
      <c r="E5" s="6"/>
      <c r="F5" s="7" t="s">
        <v>47</v>
      </c>
      <c r="G5" s="26" t="s">
        <v>25</v>
      </c>
    </row>
    <row r="6" spans="1:22" ht="20.100000000000001" customHeight="1" x14ac:dyDescent="0.25">
      <c r="A6" s="22" t="s">
        <v>5</v>
      </c>
      <c r="B6" s="6"/>
      <c r="C6" s="7"/>
      <c r="D6" s="3" t="s">
        <v>16</v>
      </c>
      <c r="E6" s="6">
        <v>4500000</v>
      </c>
      <c r="F6" s="7"/>
      <c r="G6" s="23" t="s">
        <v>39</v>
      </c>
    </row>
    <row r="7" spans="1:22" ht="20.100000000000001" customHeight="1" x14ac:dyDescent="0.25">
      <c r="A7" s="22" t="s">
        <v>29</v>
      </c>
      <c r="B7" s="6"/>
      <c r="C7" s="7"/>
      <c r="D7" s="3" t="s">
        <v>17</v>
      </c>
      <c r="E7" s="6"/>
      <c r="F7" s="7"/>
      <c r="G7" s="27" t="s">
        <v>26</v>
      </c>
    </row>
    <row r="8" spans="1:22" ht="20.100000000000001" customHeight="1" thickBot="1" x14ac:dyDescent="0.3">
      <c r="A8" s="22" t="s">
        <v>12</v>
      </c>
      <c r="B8" s="6"/>
      <c r="C8" s="7"/>
      <c r="D8" s="3" t="s">
        <v>18</v>
      </c>
      <c r="E8" s="6"/>
      <c r="F8" s="7"/>
      <c r="G8" s="28" t="s">
        <v>48</v>
      </c>
    </row>
    <row r="9" spans="1:22" ht="20.100000000000001" customHeight="1" x14ac:dyDescent="0.25">
      <c r="A9" s="22" t="s">
        <v>13</v>
      </c>
      <c r="B9" s="6"/>
      <c r="C9" s="7"/>
      <c r="D9" s="3" t="s">
        <v>19</v>
      </c>
      <c r="E9" s="6">
        <v>8500000</v>
      </c>
      <c r="F9" s="35" t="s">
        <v>40</v>
      </c>
      <c r="G9" s="41" t="s">
        <v>34</v>
      </c>
    </row>
    <row r="10" spans="1:22" ht="20.100000000000001" customHeight="1" x14ac:dyDescent="0.25">
      <c r="A10" s="29" t="s">
        <v>14</v>
      </c>
      <c r="B10" s="8"/>
      <c r="C10" s="9"/>
      <c r="D10" s="10" t="s">
        <v>20</v>
      </c>
      <c r="E10" s="6"/>
      <c r="F10" s="35" t="s">
        <v>41</v>
      </c>
      <c r="G10" s="42"/>
    </row>
    <row r="11" spans="1:22" ht="20.100000000000001" customHeight="1" x14ac:dyDescent="0.25">
      <c r="A11" s="22" t="s">
        <v>15</v>
      </c>
      <c r="B11" s="6"/>
      <c r="C11" s="7"/>
      <c r="D11" s="3" t="s">
        <v>35</v>
      </c>
      <c r="E11" s="6"/>
      <c r="F11" s="35" t="s">
        <v>42</v>
      </c>
      <c r="G11" s="42"/>
    </row>
    <row r="12" spans="1:22" ht="20.100000000000001" customHeight="1" x14ac:dyDescent="0.25">
      <c r="A12" s="30"/>
      <c r="B12" s="4"/>
      <c r="C12" s="5"/>
      <c r="D12" s="10" t="s">
        <v>36</v>
      </c>
      <c r="E12" s="6"/>
      <c r="F12" s="35" t="s">
        <v>43</v>
      </c>
      <c r="G12" s="42"/>
    </row>
    <row r="13" spans="1:22" ht="20.100000000000001" customHeight="1" x14ac:dyDescent="0.25">
      <c r="A13" s="22" t="s">
        <v>0</v>
      </c>
      <c r="B13" s="6">
        <v>16000000</v>
      </c>
      <c r="C13" s="7"/>
      <c r="D13" s="10" t="s">
        <v>37</v>
      </c>
      <c r="E13" s="6"/>
      <c r="F13" s="35" t="s">
        <v>44</v>
      </c>
      <c r="G13" s="42"/>
    </row>
    <row r="14" spans="1:22" ht="20.100000000000001" customHeight="1" x14ac:dyDescent="0.25">
      <c r="A14" s="31" t="s">
        <v>8</v>
      </c>
      <c r="B14" s="11">
        <v>2000000</v>
      </c>
      <c r="C14" s="12"/>
      <c r="D14" s="3" t="s">
        <v>21</v>
      </c>
      <c r="E14" s="8"/>
      <c r="F14" s="36" t="s">
        <v>45</v>
      </c>
      <c r="G14" s="43"/>
    </row>
    <row r="15" spans="1:22" ht="20.100000000000001" customHeight="1" x14ac:dyDescent="0.25">
      <c r="A15" s="32" t="s">
        <v>22</v>
      </c>
      <c r="B15" s="1">
        <f>(B13+E5+B7+B5+B4+B10+E3+E2)-(B2+E4+B14+B9+B8+B6+B3+B11)</f>
        <v>11000000</v>
      </c>
      <c r="C15" s="13"/>
      <c r="D15" s="3" t="s">
        <v>27</v>
      </c>
      <c r="E15" s="33" t="s">
        <v>46</v>
      </c>
      <c r="F15" s="37" t="s">
        <v>41</v>
      </c>
      <c r="G15" s="34"/>
    </row>
    <row r="16" spans="1:22" ht="20.100000000000001" customHeight="1" x14ac:dyDescent="0.25">
      <c r="A16" s="32" t="s">
        <v>28</v>
      </c>
      <c r="B16" s="2" t="str">
        <f>IF(B18-B15&gt;0,"مازاد صندوق",IF(B18-B15&lt;0,"کسر صندوق","تسویه"))</f>
        <v>مازاد صندوق</v>
      </c>
      <c r="C16" s="13"/>
      <c r="D16" s="14" t="s">
        <v>32</v>
      </c>
      <c r="E16" s="48"/>
      <c r="F16" s="49"/>
      <c r="G16" s="50"/>
    </row>
    <row r="17" spans="1:7" ht="20.100000000000001" customHeight="1" x14ac:dyDescent="0.25">
      <c r="A17" s="32" t="s">
        <v>30</v>
      </c>
      <c r="B17" s="1">
        <f>B18-B15</f>
        <v>5000000</v>
      </c>
      <c r="C17" s="13"/>
      <c r="D17" s="44"/>
      <c r="E17" s="44"/>
      <c r="F17" s="44"/>
      <c r="G17" s="45"/>
    </row>
    <row r="18" spans="1:7" ht="20.100000000000001" customHeight="1" x14ac:dyDescent="0.25">
      <c r="A18" s="32" t="s">
        <v>31</v>
      </c>
      <c r="B18" s="1">
        <f>E8+E9+E10+E11+E12+E13+E14+E6+E7+E15</f>
        <v>16000000</v>
      </c>
      <c r="C18" s="13"/>
      <c r="D18" s="46"/>
      <c r="E18" s="46"/>
      <c r="F18" s="46"/>
      <c r="G18" s="47"/>
    </row>
    <row r="19" spans="1:7" ht="20.100000000000001" customHeight="1" x14ac:dyDescent="0.25">
      <c r="A19" s="38" t="str">
        <f>"صورتجلسه فروش فروشگاه رهاوی  " &amp;G2&amp;  " "&amp; G3&amp;" "&amp;G4&amp;" " &amp;G5&amp;" "&amp;G6 &amp;" "&amp;G7&amp;" " &amp;G8</f>
        <v>صورتجلسه فروش فروشگاه رهاوی  رهاوی نام مسئول شیفت صبح خانم رضایی نام مسئول شیفت عصر خانم رضایی تاریخ 14050116</v>
      </c>
      <c r="B19" s="39"/>
      <c r="C19" s="39"/>
      <c r="D19" s="39"/>
      <c r="E19" s="39"/>
      <c r="F19" s="39"/>
      <c r="G19" s="40"/>
    </row>
    <row r="20" spans="1:7" ht="20.100000000000001" customHeight="1" x14ac:dyDescent="0.25">
      <c r="A20" s="38"/>
      <c r="B20" s="39"/>
      <c r="C20" s="39"/>
      <c r="D20" s="39"/>
      <c r="E20" s="39"/>
      <c r="F20" s="39"/>
      <c r="G20" s="40"/>
    </row>
  </sheetData>
  <mergeCells count="4">
    <mergeCell ref="A19:G20"/>
    <mergeCell ref="G9:G14"/>
    <mergeCell ref="D17:G18"/>
    <mergeCell ref="E16:G16"/>
  </mergeCells>
  <phoneticPr fontId="7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JAVAD</dc:creator>
  <cp:lastModifiedBy>JAVAD</cp:lastModifiedBy>
  <dcterms:created xsi:type="dcterms:W3CDTF">2006-09-16T00:00:00Z</dcterms:created>
  <dcterms:modified xsi:type="dcterms:W3CDTF">2026-04-06T00:00:18Z</dcterms:modified>
</cp:coreProperties>
</file>